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ichellemitchner/Desktop/Ef_Growth_Manuscript/Supplemental_Tables/Supplementary_Table_3_cluster_ORA/"/>
    </mc:Choice>
  </mc:AlternateContent>
  <xr:revisionPtr revIDLastSave="0" documentId="13_ncr:1_{7D5CFA20-4780-4F49-8E84-E968A86EF241}" xr6:coauthVersionLast="47" xr6:coauthVersionMax="47" xr10:uidLastSave="{00000000-0000-0000-0000-000000000000}"/>
  <bookViews>
    <workbookView xWindow="0" yWindow="600" windowWidth="21320" windowHeight="15940" xr2:uid="{00000000-000D-0000-FFFF-FFFF00000000}"/>
  </bookViews>
  <sheets>
    <sheet name="summary" sheetId="9" r:id="rId1"/>
    <sheet name="Cluster_1" sheetId="1" r:id="rId2"/>
    <sheet name="Cluster_2" sheetId="2" r:id="rId3"/>
    <sheet name="Cluster_3" sheetId="3" r:id="rId4"/>
    <sheet name="Cluster_4" sheetId="4" r:id="rId5"/>
    <sheet name="Cluster_5" sheetId="5" r:id="rId6"/>
    <sheet name="Cluster_6" sheetId="6" r:id="rId7"/>
    <sheet name="Cluster_7" sheetId="7" r:id="rId8"/>
    <sheet name="Cluster_8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9" l="1"/>
  <c r="D31" i="9"/>
  <c r="E27" i="9"/>
  <c r="D27" i="9"/>
  <c r="E26" i="9"/>
  <c r="D26" i="9"/>
  <c r="E25" i="9"/>
  <c r="D25" i="9"/>
  <c r="E16" i="9"/>
  <c r="D16" i="9"/>
  <c r="E15" i="9"/>
  <c r="D15" i="9"/>
  <c r="E14" i="9"/>
  <c r="D14" i="9"/>
  <c r="E13" i="9"/>
  <c r="D13" i="9"/>
  <c r="E9" i="9"/>
  <c r="D9" i="9"/>
</calcChain>
</file>

<file path=xl/sharedStrings.xml><?xml version="1.0" encoding="utf-8"?>
<sst xmlns="http://schemas.openxmlformats.org/spreadsheetml/2006/main" count="528" uniqueCount="176">
  <si>
    <t>KEGG</t>
  </si>
  <si>
    <t>GO BP – all members</t>
  </si>
  <si>
    <t>GO BP – membership ≥ 0.7</t>
  </si>
  <si>
    <t>GO Molecular Function – all members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</si>
  <si>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</si>
  <si>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</si>
  <si>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</si>
  <si>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</si>
  <si>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</si>
  <si>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</si>
  <si>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</si>
  <si>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</si>
  <si>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</si>
  <si>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</si>
  <si>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</si>
  <si>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</si>
  <si>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GO:0005525</t>
  </si>
  <si>
    <t>GTP binding</t>
  </si>
  <si>
    <t>6/95</t>
  </si>
  <si>
    <t>14/885</t>
  </si>
  <si>
    <t>OG1RF_RS09680/OG1RF_RS13010/OG1RF_RS06560/OG1RF_RS09160/OG1RF_RS13090/OG1RF_RS11135</t>
  </si>
  <si>
    <t>GO:0003924</t>
  </si>
  <si>
    <t>GTPase activity</t>
  </si>
  <si>
    <t>5/95</t>
  </si>
  <si>
    <t>11/885</t>
  </si>
  <si>
    <t>OG1RF_RS06560/OG1RF_RS02340/OG1RF_RS09160/OG1RF_RS13090/OG1RF_RS11135</t>
  </si>
  <si>
    <t>GO Molecular Function – membership ≥ 0.7</t>
  </si>
  <si>
    <t>efi03430</t>
  </si>
  <si>
    <t>Mismatch repair</t>
  </si>
  <si>
    <t>8/88</t>
  </si>
  <si>
    <t>18/669</t>
  </si>
  <si>
    <t>OG1RF_11192/OG1RF_10458/OG1RF_11811/OG1RF_12435/OG1RF_12434/OG1RF_11401/OG1RF_10777/OG1RF_10660</t>
  </si>
  <si>
    <t>GO:0008270</t>
  </si>
  <si>
    <t>zinc ion binding</t>
  </si>
  <si>
    <t>7/96</t>
  </si>
  <si>
    <t>17/885</t>
  </si>
  <si>
    <t>OG1RF_RS12715/OG1RF_RS11400/OG1RF_RS04990/OG1RF_RS02635/OG1RF_RS05945/OG1RF_RS10520/OG1RF_RS04015</t>
  </si>
  <si>
    <t>GO:0003676</t>
  </si>
  <si>
    <t>nucleic acid binding</t>
  </si>
  <si>
    <t>6/96</t>
  </si>
  <si>
    <t>OG1RF_RS05610/OG1RF_RS10520/OG1RF_RS04015/OG1RF_RS12160/OG1RF_RS01030/OG1RF_RS02710</t>
  </si>
  <si>
    <t>GO:0005524</t>
  </si>
  <si>
    <t>ATP binding</t>
  </si>
  <si>
    <t>24/96</t>
  </si>
  <si>
    <t>128/885</t>
  </si>
  <si>
    <t>OG1RF_RS11435/OG1RF_RS00580/OG1RF_RS09660/OG1RF_RS03415/OG1RF_RS08390/OG1RF_RS03020/OG1RF_RS02635/OG1RF_RS01005/OG1RF_RS03715/OG1RF_RS12115/OG1RF_RS12445/OG1RF_RS09235/OG1RF_RS12440/OG1RF_RS08495/OG1RF_RS10520/OG1RF_RS03845/OG1RF_RS12160/OG1RF_RS05865/OG1RF_RS10355/OG1RF_RS03430/OG1RF_RS10090/OG1RF_RS11345/OG1RF_RS11615/OG1RF_RS12665</t>
  </si>
  <si>
    <t>13/30</t>
  </si>
  <si>
    <t>OG1RF_RS11435/OG1RF_RS09660/OG1RF_RS08390/OG1RF_RS02635/OG1RF_RS01005/OG1RF_RS12115/OG1RF_RS12445/OG1RF_RS10520/OG1RF_RS03845/OG1RF_RS03430/OG1RF_RS10090/OG1RF_RS11345/OG1RF_RS12665</t>
  </si>
  <si>
    <t>5/30</t>
  </si>
  <si>
    <t>OG1RF_RS12715/OG1RF_RS11400/OG1RF_RS02635/OG1RF_RS10520/OG1RF_RS04015</t>
  </si>
  <si>
    <t>efi01100</t>
  </si>
  <si>
    <t>Metabolic pathways</t>
  </si>
  <si>
    <t>67/89</t>
  </si>
  <si>
    <t>350/669</t>
  </si>
  <si>
    <t>OG1RF_10782/OG1RF_10463/OG1RF_11300/OG1RF_11986/OG1RF_11988/OG1RF_10013/OG1RF_10042/OG1RF_10133/OG1RF_11876/OG1RF_11968/OG1RF_11932/OG1RF_11088/OG1RF_10915/OG1RF_11430/OG1RF_12063/OG1RF_11582/OG1RF_11425/OG1RF_10954/OG1RF_12446/OG1RF_11989/OG1RF_11432/OG1RF_11417/OG1RF_10956/OG1RF_11423/OG1RF_12228/OG1RF_11221/OG1RF_11429/OG1RF_11987/OG1RF_12197/OG1RF_11796/OG1RF_11675/OG1RF_11428/OG1RF_11424/OG1RF_12026/OG1RF_11246/OG1RF_10255/OG1RF_12519/OG1RF_12244/OG1RF_11985/OG1RF_11990/OG1RF_10579/OG1RF_10715/OG1RF_10135/OG1RF_12125/OG1RF_12065/OG1RF_12517/OG1RF_12490/OG1RF_11324/OG1RF_10050/OG1RF_11836/OG1RF_10278/OG1RF_11426/OG1RF_11586/OG1RF_10917/OG1RF_10912/OG1RF_11591/OG1RF_11974/OG1RF_12160/OG1RF_10381/OG1RF_11422/OG1RF_11592/OG1RF_11138/OG1RF_11489/OG1RF_10063/OG1RF_12476/OG1RF_10434/OG1RF_10344</t>
  </si>
  <si>
    <t>efi00300</t>
  </si>
  <si>
    <t>Lysine biosynthesis</t>
  </si>
  <si>
    <t>6/89</t>
  </si>
  <si>
    <t>13/669</t>
  </si>
  <si>
    <t>OG1RF_12446/OG1RF_11417/OG1RF_10956/OG1RF_11221/OG1RF_10255/OG1RF_10912</t>
  </si>
  <si>
    <t>efi01240</t>
  </si>
  <si>
    <t>Biosynthesis of cofactors</t>
  </si>
  <si>
    <t>18/89</t>
  </si>
  <si>
    <t>73/669</t>
  </si>
  <si>
    <t>OG1RF_10013/OG1RF_10042/OG1RF_11876/OG1RF_11968/OG1RF_11932/OG1RF_11430/OG1RF_11425/OG1RF_11423/OG1RF_11379/OG1RF_12228/OG1RF_11429/OG1RF_11675/OG1RF_11428/OG1RF_11424/OG1RF_12027/OG1RF_12517/OG1RF_11426/OG1RF_10381</t>
  </si>
  <si>
    <t>efi00240</t>
  </si>
  <si>
    <t>Pyrimidine metabolism</t>
  </si>
  <si>
    <t>10/89</t>
  </si>
  <si>
    <t>31/669</t>
  </si>
  <si>
    <t>OG1RF_11430/OG1RF_11425/OG1RF_11432/OG1RF_11423/OG1RF_11429/OG1RF_11428/OG1RF_11424/OG1RF_12125/OG1RF_10278/OG1RF_11426</t>
  </si>
  <si>
    <t>GO:1902600</t>
  </si>
  <si>
    <t>proton transmembrane transport</t>
  </si>
  <si>
    <t>7/86</t>
  </si>
  <si>
    <t>13/666</t>
  </si>
  <si>
    <t>OG1RF_RS10155/OG1RF_RS10165/OG1RF_RS10170/OG1RF_RS10160/OG1RF_RS10150/OG1RF_RS10175/OG1RF_RS01590</t>
  </si>
  <si>
    <t>GO:0006754</t>
  </si>
  <si>
    <t>ATP biosynthetic process</t>
  </si>
  <si>
    <t>6/86</t>
  </si>
  <si>
    <t>10/666</t>
  </si>
  <si>
    <t>OG1RF_RS10155/OG1RF_RS10165/OG1RF_RS10170/OG1RF_RS10160/OG1RF_RS10150/OG1RF_RS10175</t>
  </si>
  <si>
    <t>GO:0006811</t>
  </si>
  <si>
    <t>monoatomic ion transport</t>
  </si>
  <si>
    <t>5/38</t>
  </si>
  <si>
    <t>OG1RF_RS10155/OG1RF_RS10170/OG1RF_RS10160/OG1RF_RS10150/OG1RF_RS10175</t>
  </si>
  <si>
    <t>GO:0046933</t>
  </si>
  <si>
    <t>proton-transporting ATP synthase activity, rotational mechanism</t>
  </si>
  <si>
    <t>6/113</t>
  </si>
  <si>
    <t>10/885</t>
  </si>
  <si>
    <t>GO:0030170</t>
  </si>
  <si>
    <t>pyridoxal phosphate binding</t>
  </si>
  <si>
    <t>13/885</t>
  </si>
  <si>
    <t>OG1RF_RS09890/OG1RF_RS07300/OG1RF_RS11265/OG1RF_RS08590/OG1RF_RS03035/OG1RF_RS00550</t>
  </si>
  <si>
    <t>5/50</t>
  </si>
  <si>
    <t>GO:0006355</t>
  </si>
  <si>
    <t>regulation of DNA-templated transcription</t>
  </si>
  <si>
    <t>17/106</t>
  </si>
  <si>
    <t>52/666</t>
  </si>
  <si>
    <t>OG1RF_RS07480/OG1RF_RS07005/OG1RF_RS00275/OG1RF_RS11340/OG1RF_RS11200/OG1RF_RS06735/OG1RF_RS11885/OG1RF_RS01865/OG1RF_RS02035/OG1RF_RS11935/OG1RF_RS00525/OG1RF_RS13175/OG1RF_RS07160/OG1RF_RS01440/OG1RF_RS07265/OG1RF_RS12920/OG1RF_RS05260</t>
  </si>
  <si>
    <t>GO:0006096</t>
  </si>
  <si>
    <t>glycolytic process</t>
  </si>
  <si>
    <t>7/106</t>
  </si>
  <si>
    <t>OG1RF_RS08325/OG1RF_RS08335/OG1RF_RS06240/OG1RF_RS08340/OG1RF_RS04020/OG1RF_RS04925/OG1RF_RS00995</t>
  </si>
  <si>
    <t>4/24</t>
  </si>
  <si>
    <t>OG1RF_RS08325/OG1RF_RS06240/OG1RF_RS04020/OG1RF_RS04925</t>
  </si>
  <si>
    <t>GO:0003700</t>
  </si>
  <si>
    <t>DNA-binding transcription factor activity</t>
  </si>
  <si>
    <t>15/131</t>
  </si>
  <si>
    <t>43/885</t>
  </si>
  <si>
    <t>OG1RF_RS07480/OG1RF_RS07005/OG1RF_RS07540/OG1RF_RS08500/OG1RF_RS11200/OG1RF_RS06735/OG1RF_RS05705/OG1RF_RS11885/OG1RF_RS08200/OG1RF_RS01865/OG1RF_RS02035/OG1RF_RS00525/OG1RF_RS07160/OG1RF_RS12920/OG1RF_RS05260</t>
  </si>
  <si>
    <t>21/84</t>
  </si>
  <si>
    <t>OG1RF_10226/OG1RF_10330/OG1RF_10517/OG1RF_11436/OG1RF_10712/OG1RF_12001/OG1RF_12183/OG1RF_12105/OG1RF_12000/OG1RF_12028/OG1RF_11504/OG1RF_12174/OG1RF_10608/OG1RF_12518/OG1RF_12516/OG1RF_11296/OG1RF_12040/OG1RF_12514/OG1RF_12135/OG1RF_10568/OG1RF_11367</t>
  </si>
  <si>
    <t>58/84</t>
  </si>
  <si>
    <t>OG1RF_10367/OG1RF_10226/OG1RF_10330/OG1RF_12115/OG1RF_10141/OG1RF_10462/OG1RF_11303/OG1RF_11931/OG1RF_11852/OG1RF_10517/OG1RF_10985/OG1RF_12372/OG1RF_11436/OG1RF_10712/OG1RF_12001/OG1RF_12183/OG1RF_11970/OG1RF_10355/OG1RF_12105/OG1RF_12000/OG1RF_11295/OG1RF_11851/OG1RF_12028/OG1RF_10955/OG1RF_11450/OG1RF_10461/OG1RF_10233/OG1RF_11504/OG1RF_11869/OG1RF_10362/OG1RF_11893/OG1RF_10143/OG1RF_10899/OG1RF_12174/OG1RF_10608/OG1RF_12518/OG1RF_11936/OG1RF_10134/OG1RF_12516/OG1RF_10351/OG1RF_11981/OG1RF_11863/OG1RF_11296/OG1RF_11940/OG1RF_10666/OG1RF_12040/OG1RF_11879/OG1RF_12514/OG1RF_12041/OG1RF_10194/OG1RF_11992/OG1RF_12150/OG1RF_12135/OG1RF_10865/OG1RF_10568/OG1RF_10844/OG1RF_10310/OG1RF_11367</t>
  </si>
  <si>
    <t>efi02010</t>
  </si>
  <si>
    <t>ABC transporters</t>
  </si>
  <si>
    <t>18/76</t>
  </si>
  <si>
    <t>77/669</t>
  </si>
  <si>
    <t>OG1RF_10126/OG1RF_10638/OG1RF_10639/OG1RF_11467/OG1RF_12207/OG1RF_11470/OG1RF_12464/OG1RF_10182/OG1RF_10637/OG1RF_11466/OG1RF_10636/OG1RF_10620/OG1RF_11727/OG1RF_10057/OG1RF_11469/OG1RF_10896/OG1RF_10127/OG1RF_10128</t>
  </si>
  <si>
    <t>GO:0008643</t>
  </si>
  <si>
    <t>carbohydrate transport</t>
  </si>
  <si>
    <t>9/67</t>
  </si>
  <si>
    <t>14/666</t>
  </si>
  <si>
    <t>OG1RF_RS03455/OG1RF_RS11515/OG1RF_RS01860/OG1RF_RS12650/OG1RF_RS07770/OG1RF_RS12295/OG1RF_RS09020/OG1RF_RS11580/OG1RF_RS08290</t>
  </si>
  <si>
    <t>GO:0009401</t>
  </si>
  <si>
    <t>phosphoenolpyruvate-dependent sugar phosphotransferase system</t>
  </si>
  <si>
    <t>8/67</t>
  </si>
  <si>
    <t>23/666</t>
  </si>
  <si>
    <t>OG1RF_RS11515/OG1RF_RS03880/OG1RF_RS01860/OG1RF_RS12650/OG1RF_RS07770/OG1RF_RS12295/OG1RF_RS11580/OG1RF_RS08290</t>
  </si>
  <si>
    <t>4/21</t>
  </si>
  <si>
    <t>OG1RF_RS03880/OG1RF_RS12650/OG1RF_RS07770/OG1RF_RS11580</t>
  </si>
  <si>
    <t>3/21</t>
  </si>
  <si>
    <t>OG1RF_RS12650/OG1RF_RS07770/OG1RF_RS11580</t>
  </si>
  <si>
    <t>GO:0008982</t>
  </si>
  <si>
    <t>protein-N(PI)-phosphohistidine-sugar phosphotransferase activity</t>
  </si>
  <si>
    <t>7/81</t>
  </si>
  <si>
    <t>OG1RF_RS11515/OG1RF_RS01860/OG1RF_RS12650/OG1RF_RS07770/OG1RF_RS12295/OG1RF_RS11580/OG1RF_RS08290</t>
  </si>
  <si>
    <t>3/23</t>
  </si>
  <si>
    <t>efi03010</t>
  </si>
  <si>
    <t>Ribosome</t>
  </si>
  <si>
    <t>39/106</t>
  </si>
  <si>
    <t>55/669</t>
  </si>
  <si>
    <t>OG1RF_10154/OG1RF_11833/OG1RF_10151/OG1RF_12340/OG1RF_10163/OG1RF_12082/OG1RF_10145/OG1RF_12081/OG1RF_10168/OG1RF_10166/OG1RF_10156/OG1RF_10152/OG1RF_10170/OG1RF_10161/OG1RF_10167/OG1RF_10165/OG1RF_12083/OG1RF_12487/OG1RF_11874/OG1RF_10157/OG1RF_11564/OG1RF_10175/OG1RF_10144/OG1RF_10153/OG1RF_10007/OG1RF_12486/OG1RF_10150/OG1RF_12335/OG1RF_10176/OG1RF_10009/OG1RF_10169/OG1RF_10155/OG1RF_10160/OG1RF_10703/OG1RF_10948/OG1RF_11407/OG1RF_10159/OG1RF_10162/OG1RF_10174</t>
  </si>
  <si>
    <t>GO:0006412</t>
  </si>
  <si>
    <t>translation</t>
  </si>
  <si>
    <t>39/102</t>
  </si>
  <si>
    <t>61/666</t>
  </si>
  <si>
    <t>OG1RF_RS00775/OG1RF_RS09385/OG1RF_RS00760/OG1RF_RS11990/OG1RF_RS00820/OG1RF_RS10650/OG1RF_RS00730/OG1RF_RS10645/OG1RF_RS00845/OG1RF_RS00835/OG1RF_RS00785/OG1RF_RS00765/OG1RF_RS00855/OG1RF_RS00810/OG1RF_RS00840/OG1RF_RS00830/OG1RF_RS10655/OG1RF_RS12690/OG1RF_RS09590/OG1RF_RS00790/OG1RF_RS08025/OG1RF_RS00880/OG1RF_RS00725/OG1RF_RS00045/OG1RF_RS12685/OG1RF_RS00755/OG1RF_RS11965/OG1RF_RS00885/OG1RF_RS00055/OG1RF_RS00850/OG1RF_RS00780/OG1RF_RS00805/OG1RF_RS03640/OG1RF_RS04945/OG1RF_RS07250/OG1RF_RS01000/OG1RF_RS00800/OG1RF_RS00815/OG1RF_RS00875</t>
  </si>
  <si>
    <t>34/52</t>
  </si>
  <si>
    <t>OG1RF_RS09385/OG1RF_RS00760/OG1RF_RS11990/OG1RF_RS00820/OG1RF_RS10650/OG1RF_RS00730/OG1RF_RS10645/OG1RF_RS00845/OG1RF_RS00835/OG1RF_RS00785/OG1RF_RS00765/OG1RF_RS00855/OG1RF_RS00810/OG1RF_RS00840/OG1RF_RS00830/OG1RF_RS10655/OG1RF_RS12690/OG1RF_RS09590/OG1RF_RS00790/OG1RF_RS08025/OG1RF_RS00880/OG1RF_RS00725/OG1RF_RS00045/OG1RF_RS12685/OG1RF_RS11965/OG1RF_RS00885/OG1RF_RS00055/OG1RF_RS00850/OG1RF_RS00780/OG1RF_RS00805/OG1RF_RS03640/OG1RF_RS07250/OG1RF_RS00800/OG1RF_RS00815</t>
  </si>
  <si>
    <t>GO:0003735</t>
  </si>
  <si>
    <t>structural constituent of ribosome</t>
  </si>
  <si>
    <t>38/133</t>
  </si>
  <si>
    <t>53/885</t>
  </si>
  <si>
    <t>OG1RF_RS00775/OG1RF_RS09385/OG1RF_RS00760/OG1RF_RS11990/OG1RF_RS00820/OG1RF_RS10650/OG1RF_RS00730/OG1RF_RS10645/OG1RF_RS00845/OG1RF_RS00835/OG1RF_RS00785/OG1RF_RS00765/OG1RF_RS00855/OG1RF_RS00810/OG1RF_RS00840/OG1RF_RS00830/OG1RF_RS10655/OG1RF_RS12690/OG1RF_RS09590/OG1RF_RS00790/OG1RF_RS08025/OG1RF_RS00880/OG1RF_RS00725/OG1RF_RS00045/OG1RF_RS12685/OG1RF_RS00755/OG1RF_RS11965/OG1RF_RS00885/OG1RF_RS00055/OG1RF_RS00850/OG1RF_RS00780/OG1RF_RS00805/OG1RF_RS03640/OG1RF_RS04945/OG1RF_RS07250/OG1RF_RS00800/OG1RF_RS00815/OG1RF_RS00875</t>
  </si>
  <si>
    <t>34/59</t>
  </si>
  <si>
    <t>Cluster</t>
  </si>
  <si>
    <t>Pathway</t>
  </si>
  <si>
    <t>ProteinNumber</t>
  </si>
  <si>
    <t>padj</t>
  </si>
  <si>
    <t>Zinc ion binding</t>
  </si>
  <si>
    <t>Nucleic acid binding</t>
  </si>
  <si>
    <t>Proton transmembrane transport</t>
  </si>
  <si>
    <t>Monoatomic ion transport</t>
  </si>
  <si>
    <t>Proton-transporting ATP synthase activity, rotational mechanism</t>
  </si>
  <si>
    <t>Pyridoxal phosphate binding</t>
  </si>
  <si>
    <t>Regulation of DNA-templated transcription</t>
  </si>
  <si>
    <t>Glycolytic process</t>
  </si>
  <si>
    <t>Carbohydrate transport</t>
  </si>
  <si>
    <t>Phosphoenolpyruvate-dependent sugar phosphotransferase system</t>
  </si>
  <si>
    <t>Protein-N(PI)-phosphohistidine-sugar phosphotransferase activity</t>
  </si>
  <si>
    <t>Translation</t>
  </si>
  <si>
    <t>Structural constituent of ribosome</t>
  </si>
  <si>
    <t>Supplementary Table 3</t>
  </si>
  <si>
    <t>For each cluster (see separate tabs), enriched pathways/functions are listed by database along with the represented protein members and relevant statistical calculations.</t>
  </si>
  <si>
    <r>
      <t xml:space="preserve">A consolidated version of this information is shown below and was used to generate </t>
    </r>
    <r>
      <rPr>
        <b/>
        <sz val="12"/>
        <color rgb="FF000000"/>
        <rFont val="Times New Roman"/>
        <family val="1"/>
      </rPr>
      <t>Figure 2B</t>
    </r>
    <r>
      <rPr>
        <sz val="12"/>
        <color rgb="FF000000"/>
        <rFont val="Times New Roman"/>
        <family val="1"/>
      </rPr>
      <t>.</t>
    </r>
  </si>
  <si>
    <r>
      <t xml:space="preserve">Overrepresentation analysis of protein clusters (as defined in </t>
    </r>
    <r>
      <rPr>
        <b/>
        <sz val="12"/>
        <color rgb="FF000000"/>
        <rFont val="Times New Roman"/>
        <family val="1"/>
      </rPr>
      <t>Supplementary Table 2</t>
    </r>
    <r>
      <rPr>
        <sz val="12"/>
        <color rgb="FF000000"/>
        <rFont val="Times New Roman"/>
        <family val="1"/>
      </rPr>
      <t>) using KEGG, GO BP (Biological Process), and GO MF (Molecular Function) databases.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</si>
</sst>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09B9-4205-734C-9884-6DC8B3B97CDD}">
  <dimension ref="A1:F33"/>
  <sheetViews>
    <sheetView tabSelected="1" workbookViewId="0">
      <selection activeCell="B15" sqref="B15"/>
    </sheetView>
  </sheetViews>
  <sheetFormatPr baseColWidth="10" defaultRowHeight="15" x14ac:dyDescent="0.2"/>
  <cols>
    <col min="1" max="1" width="6.6640625" customWidth="1"/>
    <col min="2" max="2" width="52.83203125" bestFit="1" customWidth="1"/>
    <col min="3" max="3" width="13" bestFit="1" customWidth="1"/>
    <col min="4" max="4" width="12.1640625" bestFit="1" customWidth="1"/>
    <col min="5" max="5" width="13.33203125" bestFit="1" customWidth="1"/>
    <col min="6" max="6" width="12.1640625" bestFit="1" customWidth="1"/>
  </cols>
  <sheetData>
    <row r="1" spans="1:6" ht="16" x14ac:dyDescent="0.2">
      <c r="A1" s="3" t="s">
        <v>172</v>
      </c>
    </row>
    <row r="2" spans="1:6" ht="16" x14ac:dyDescent="0.2">
      <c r="A2" s="4" t="s">
        <v>175</v>
      </c>
    </row>
    <row r="3" spans="1:6" ht="16" x14ac:dyDescent="0.2">
      <c r="A3" s="4" t="s">
        <v>173</v>
      </c>
    </row>
    <row r="4" spans="1:6" ht="16" x14ac:dyDescent="0.2">
      <c r="A4" s="4" t="s">
        <v>174</v>
      </c>
    </row>
    <row r="6" spans="1:6" x14ac:dyDescent="0.2">
      <c r="A6" s="5" t="s">
        <v>155</v>
      </c>
      <c r="B6" s="5" t="s">
        <v>156</v>
      </c>
      <c r="C6" s="5" t="s">
        <v>157</v>
      </c>
      <c r="D6" s="5" t="s">
        <v>8</v>
      </c>
      <c r="E6" s="5" t="s">
        <v>9</v>
      </c>
      <c r="F6" s="5" t="s">
        <v>158</v>
      </c>
    </row>
    <row r="7" spans="1:6" x14ac:dyDescent="0.2">
      <c r="A7">
        <v>1</v>
      </c>
      <c r="B7" t="s">
        <v>17</v>
      </c>
      <c r="C7">
        <v>6</v>
      </c>
      <c r="D7">
        <v>0.42857142857142899</v>
      </c>
      <c r="E7">
        <v>3.9924812030075199</v>
      </c>
      <c r="F7">
        <v>4.0426516728019203E-2</v>
      </c>
    </row>
    <row r="8" spans="1:6" x14ac:dyDescent="0.2">
      <c r="A8">
        <v>1</v>
      </c>
      <c r="B8" t="s">
        <v>22</v>
      </c>
      <c r="C8">
        <v>5</v>
      </c>
      <c r="D8">
        <v>0.45454545454545497</v>
      </c>
      <c r="E8">
        <v>4.2344497607655498</v>
      </c>
      <c r="F8">
        <v>4.0426516728019203E-2</v>
      </c>
    </row>
    <row r="9" spans="1:6" x14ac:dyDescent="0.2">
      <c r="A9">
        <v>2</v>
      </c>
      <c r="B9" t="s">
        <v>28</v>
      </c>
      <c r="C9">
        <v>8</v>
      </c>
      <c r="D9">
        <f>8/18</f>
        <v>0.44444444444444442</v>
      </c>
      <c r="E9">
        <f>(8/88)/(18/669)</f>
        <v>3.3787878787878789</v>
      </c>
      <c r="F9">
        <v>3.8776579300423802E-2</v>
      </c>
    </row>
    <row r="10" spans="1:6" x14ac:dyDescent="0.2">
      <c r="A10">
        <v>2</v>
      </c>
      <c r="B10" t="s">
        <v>159</v>
      </c>
      <c r="C10">
        <v>7</v>
      </c>
      <c r="D10">
        <v>0.41176470588235298</v>
      </c>
      <c r="E10">
        <v>3.7959558823529398</v>
      </c>
      <c r="F10">
        <v>2.0267509534358699E-2</v>
      </c>
    </row>
    <row r="11" spans="1:6" x14ac:dyDescent="0.2">
      <c r="A11">
        <v>2</v>
      </c>
      <c r="B11" t="s">
        <v>160</v>
      </c>
      <c r="C11">
        <v>6</v>
      </c>
      <c r="D11">
        <v>0.42857142857142899</v>
      </c>
      <c r="E11">
        <v>3.9508928571428599</v>
      </c>
      <c r="F11">
        <v>2.0267509534358699E-2</v>
      </c>
    </row>
    <row r="12" spans="1:6" x14ac:dyDescent="0.2">
      <c r="A12">
        <v>2</v>
      </c>
      <c r="B12" t="s">
        <v>42</v>
      </c>
      <c r="C12">
        <v>24</v>
      </c>
      <c r="D12">
        <v>0.1875</v>
      </c>
      <c r="E12">
        <v>1.728515625</v>
      </c>
      <c r="F12">
        <v>2.0267509534358699E-2</v>
      </c>
    </row>
    <row r="13" spans="1:6" x14ac:dyDescent="0.2">
      <c r="A13">
        <v>3</v>
      </c>
      <c r="B13" t="s">
        <v>51</v>
      </c>
      <c r="C13">
        <v>67</v>
      </c>
      <c r="D13">
        <f>67/350</f>
        <v>0.19142857142857142</v>
      </c>
      <c r="E13">
        <f>(67/89)/(350/669)</f>
        <v>1.4389406099518458</v>
      </c>
      <c r="F13">
        <v>7.0743672492886204E-5</v>
      </c>
    </row>
    <row r="14" spans="1:6" x14ac:dyDescent="0.2">
      <c r="A14">
        <v>3</v>
      </c>
      <c r="B14" t="s">
        <v>56</v>
      </c>
      <c r="C14">
        <v>6</v>
      </c>
      <c r="D14">
        <f>6/13</f>
        <v>0.46153846153846156</v>
      </c>
      <c r="E14">
        <f>(6/89)/(13/669)</f>
        <v>3.4693171996542786</v>
      </c>
      <c r="F14">
        <v>4.40751182447165E-2</v>
      </c>
    </row>
    <row r="15" spans="1:6" x14ac:dyDescent="0.2">
      <c r="A15">
        <v>3</v>
      </c>
      <c r="B15" t="s">
        <v>61</v>
      </c>
      <c r="C15">
        <v>18</v>
      </c>
      <c r="D15">
        <f>18/73</f>
        <v>0.24657534246575341</v>
      </c>
      <c r="E15">
        <f>(18/89)/(73/669)</f>
        <v>1.8534708326920117</v>
      </c>
      <c r="F15">
        <v>4.40751182447165E-2</v>
      </c>
    </row>
    <row r="16" spans="1:6" x14ac:dyDescent="0.2">
      <c r="A16">
        <v>3</v>
      </c>
      <c r="B16" t="s">
        <v>66</v>
      </c>
      <c r="C16">
        <v>10</v>
      </c>
      <c r="D16">
        <f>10/31</f>
        <v>0.32258064516129031</v>
      </c>
      <c r="E16">
        <f>(10/89)/(31/669)</f>
        <v>2.4247915911562159</v>
      </c>
      <c r="F16">
        <v>4.40751182447165E-2</v>
      </c>
    </row>
    <row r="17" spans="1:6" x14ac:dyDescent="0.2">
      <c r="A17">
        <v>3</v>
      </c>
      <c r="B17" t="s">
        <v>161</v>
      </c>
      <c r="C17">
        <v>7</v>
      </c>
      <c r="D17">
        <v>0.53846153846153799</v>
      </c>
      <c r="E17">
        <v>4.1699463327370303</v>
      </c>
      <c r="F17">
        <v>4.03274049370038E-3</v>
      </c>
    </row>
    <row r="18" spans="1:6" x14ac:dyDescent="0.2">
      <c r="A18">
        <v>3</v>
      </c>
      <c r="B18" t="s">
        <v>76</v>
      </c>
      <c r="C18">
        <v>6</v>
      </c>
      <c r="D18">
        <v>0.6</v>
      </c>
      <c r="E18">
        <v>4.64651162790698</v>
      </c>
      <c r="F18">
        <v>4.03274049370038E-3</v>
      </c>
    </row>
    <row r="19" spans="1:6" x14ac:dyDescent="0.2">
      <c r="A19">
        <v>3</v>
      </c>
      <c r="B19" t="s">
        <v>162</v>
      </c>
      <c r="C19">
        <v>6</v>
      </c>
      <c r="D19">
        <v>0.46153846153846201</v>
      </c>
      <c r="E19">
        <v>3.5742397137745998</v>
      </c>
      <c r="F19">
        <v>1.58426455186059E-2</v>
      </c>
    </row>
    <row r="20" spans="1:6" x14ac:dyDescent="0.2">
      <c r="A20">
        <v>3</v>
      </c>
      <c r="B20" t="s">
        <v>163</v>
      </c>
      <c r="C20">
        <v>6</v>
      </c>
      <c r="D20">
        <v>0.6</v>
      </c>
      <c r="E20">
        <v>4.6991150442477903</v>
      </c>
      <c r="F20">
        <v>1.14616651072783E-2</v>
      </c>
    </row>
    <row r="21" spans="1:6" x14ac:dyDescent="0.2">
      <c r="A21">
        <v>3</v>
      </c>
      <c r="B21" t="s">
        <v>164</v>
      </c>
      <c r="C21">
        <v>6</v>
      </c>
      <c r="D21">
        <v>0.46153846153846201</v>
      </c>
      <c r="E21">
        <v>3.6147038801906102</v>
      </c>
      <c r="F21">
        <v>3.3740152584194501E-2</v>
      </c>
    </row>
    <row r="22" spans="1:6" x14ac:dyDescent="0.2">
      <c r="A22">
        <v>4</v>
      </c>
      <c r="B22" t="s">
        <v>165</v>
      </c>
      <c r="C22">
        <v>17</v>
      </c>
      <c r="D22">
        <v>0.32692307692307698</v>
      </c>
      <c r="E22">
        <v>2.0540638606676298</v>
      </c>
      <c r="F22">
        <v>1.20843701055774E-2</v>
      </c>
    </row>
    <row r="23" spans="1:6" x14ac:dyDescent="0.2">
      <c r="A23">
        <v>4</v>
      </c>
      <c r="B23" t="s">
        <v>166</v>
      </c>
      <c r="C23">
        <v>7</v>
      </c>
      <c r="D23">
        <v>0.53846153846153799</v>
      </c>
      <c r="E23">
        <v>3.3831640058055199</v>
      </c>
      <c r="F23">
        <v>1.20843701055774E-2</v>
      </c>
    </row>
    <row r="24" spans="1:6" x14ac:dyDescent="0.2">
      <c r="A24">
        <v>4</v>
      </c>
      <c r="B24" t="s">
        <v>105</v>
      </c>
      <c r="C24">
        <v>15</v>
      </c>
      <c r="D24">
        <v>0.34883720930232598</v>
      </c>
      <c r="E24">
        <v>2.35664832238594</v>
      </c>
      <c r="F24">
        <v>1.4870115659024E-2</v>
      </c>
    </row>
    <row r="25" spans="1:6" x14ac:dyDescent="0.2">
      <c r="A25">
        <v>5</v>
      </c>
      <c r="B25" t="s">
        <v>61</v>
      </c>
      <c r="C25">
        <v>21</v>
      </c>
      <c r="D25">
        <f>21/73</f>
        <v>0.28767123287671231</v>
      </c>
      <c r="E25">
        <f>(21/84)/(73/669)</f>
        <v>2.2910958904109591</v>
      </c>
      <c r="F25">
        <v>2.27332858322713E-3</v>
      </c>
    </row>
    <row r="26" spans="1:6" x14ac:dyDescent="0.2">
      <c r="A26">
        <v>5</v>
      </c>
      <c r="B26" t="s">
        <v>51</v>
      </c>
      <c r="C26">
        <v>58</v>
      </c>
      <c r="D26">
        <f>58/350</f>
        <v>0.1657142857142857</v>
      </c>
      <c r="E26">
        <f>(58/84)/(350/669)</f>
        <v>1.3197959183673469</v>
      </c>
      <c r="F26">
        <v>1.26219251230755E-2</v>
      </c>
    </row>
    <row r="27" spans="1:6" x14ac:dyDescent="0.2">
      <c r="A27">
        <v>6</v>
      </c>
      <c r="B27" t="s">
        <v>114</v>
      </c>
      <c r="C27">
        <v>18</v>
      </c>
      <c r="D27">
        <f>18/76</f>
        <v>0.23684210526315788</v>
      </c>
      <c r="E27">
        <f>(18/76)/(77/669)</f>
        <v>2.0577580314422419</v>
      </c>
      <c r="F27">
        <v>4.2962328325695E-2</v>
      </c>
    </row>
    <row r="28" spans="1:6" x14ac:dyDescent="0.2">
      <c r="A28">
        <v>7</v>
      </c>
      <c r="B28" t="s">
        <v>167</v>
      </c>
      <c r="C28">
        <v>9</v>
      </c>
      <c r="D28">
        <v>0.64285714285714302</v>
      </c>
      <c r="E28">
        <v>6.3901918976545797</v>
      </c>
      <c r="F28">
        <v>1.09280439928733E-5</v>
      </c>
    </row>
    <row r="29" spans="1:6" x14ac:dyDescent="0.2">
      <c r="A29">
        <v>7</v>
      </c>
      <c r="B29" t="s">
        <v>168</v>
      </c>
      <c r="C29">
        <v>8</v>
      </c>
      <c r="D29">
        <v>0.34782608695652201</v>
      </c>
      <c r="E29">
        <v>3.4574951330305002</v>
      </c>
      <c r="F29">
        <v>6.4871296793216999E-3</v>
      </c>
    </row>
    <row r="30" spans="1:6" x14ac:dyDescent="0.2">
      <c r="A30">
        <v>7</v>
      </c>
      <c r="B30" t="s">
        <v>169</v>
      </c>
      <c r="C30">
        <v>7</v>
      </c>
      <c r="D30">
        <v>0.53846153846153799</v>
      </c>
      <c r="E30">
        <v>5.8831908831908803</v>
      </c>
      <c r="F30">
        <v>8.6933984890764904E-4</v>
      </c>
    </row>
    <row r="31" spans="1:6" x14ac:dyDescent="0.2">
      <c r="A31">
        <v>8</v>
      </c>
      <c r="B31" t="s">
        <v>138</v>
      </c>
      <c r="C31">
        <v>39</v>
      </c>
      <c r="D31">
        <f>39/55</f>
        <v>0.70909090909090911</v>
      </c>
      <c r="E31">
        <f>(39/106)/(55/669)</f>
        <v>4.4753001715265857</v>
      </c>
      <c r="F31">
        <v>1.20184663297785E-20</v>
      </c>
    </row>
    <row r="32" spans="1:6" x14ac:dyDescent="0.2">
      <c r="A32">
        <v>8</v>
      </c>
      <c r="B32" t="s">
        <v>170</v>
      </c>
      <c r="C32">
        <v>39</v>
      </c>
      <c r="D32">
        <v>0.63934426229508201</v>
      </c>
      <c r="E32">
        <v>4.1745419479267101</v>
      </c>
      <c r="F32">
        <v>4.3350351649021299E-19</v>
      </c>
    </row>
    <row r="33" spans="1:6" x14ac:dyDescent="0.2">
      <c r="A33">
        <v>8</v>
      </c>
      <c r="B33" t="s">
        <v>171</v>
      </c>
      <c r="C33">
        <v>38</v>
      </c>
      <c r="D33">
        <v>0.71698113207547198</v>
      </c>
      <c r="E33">
        <v>4.7708894878706198</v>
      </c>
      <c r="F33">
        <v>7.9946684420516601E-21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E9" sqref="E9"/>
    </sheetView>
  </sheetViews>
  <sheetFormatPr baseColWidth="10" defaultRowHeight="15" x14ac:dyDescent="0.2"/>
  <cols>
    <col min="1" max="1" width="52.5" customWidth="1"/>
    <col min="2" max="2" width="15.6640625" customWidth="1"/>
    <col min="3" max="3" width="11.33203125" customWidth="1"/>
    <col min="4" max="4" width="9" customWidth="1"/>
    <col min="5" max="5" width="12.5" customWidth="1"/>
    <col min="6" max="6" width="17.1640625" customWidth="1"/>
    <col min="7" max="10" width="11.6640625" customWidth="1"/>
    <col min="11" max="11" width="83.6640625" customWidth="1"/>
    <col min="12" max="12" width="6.6640625" customWidth="1"/>
  </cols>
  <sheetData>
    <row r="1" spans="1:12" ht="16" x14ac:dyDescent="0.2">
      <c r="A1" s="1" t="s">
        <v>0</v>
      </c>
    </row>
    <row r="3" spans="1:12" ht="16" x14ac:dyDescent="0.2">
      <c r="A3" s="1" t="s">
        <v>1</v>
      </c>
    </row>
    <row r="5" spans="1:12" ht="16" x14ac:dyDescent="0.2">
      <c r="A5" s="1" t="s">
        <v>2</v>
      </c>
    </row>
    <row r="7" spans="1:12" ht="16" x14ac:dyDescent="0.2">
      <c r="A7" s="1" t="s">
        <v>3</v>
      </c>
    </row>
    <row r="8" spans="1:12" ht="16" x14ac:dyDescent="0.2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</row>
    <row r="9" spans="1:12" x14ac:dyDescent="0.2">
      <c r="A9" t="s">
        <v>16</v>
      </c>
      <c r="B9" t="s">
        <v>17</v>
      </c>
      <c r="C9" t="s">
        <v>18</v>
      </c>
      <c r="D9" t="s">
        <v>19</v>
      </c>
      <c r="E9">
        <v>0.42857142857142899</v>
      </c>
      <c r="F9">
        <v>3.9924812030075199</v>
      </c>
      <c r="G9">
        <v>3.9116569547839002</v>
      </c>
      <c r="H9">
        <v>1.92979861875854E-3</v>
      </c>
      <c r="I9">
        <v>4.0426516728019203E-2</v>
      </c>
      <c r="J9">
        <v>3.7003676638919202E-2</v>
      </c>
      <c r="K9" t="s">
        <v>20</v>
      </c>
      <c r="L9">
        <v>6</v>
      </c>
    </row>
    <row r="10" spans="1:12" x14ac:dyDescent="0.2">
      <c r="A10" t="s">
        <v>21</v>
      </c>
      <c r="B10" t="s">
        <v>22</v>
      </c>
      <c r="C10" t="s">
        <v>23</v>
      </c>
      <c r="D10" t="s">
        <v>24</v>
      </c>
      <c r="E10">
        <v>0.45454545454545497</v>
      </c>
      <c r="F10">
        <v>4.2344497607655498</v>
      </c>
      <c r="G10">
        <v>3.74123876449449</v>
      </c>
      <c r="H10">
        <v>3.5153492806973201E-3</v>
      </c>
      <c r="I10">
        <v>4.0426516728019203E-2</v>
      </c>
      <c r="J10">
        <v>3.7003676638919202E-2</v>
      </c>
      <c r="K10" t="s">
        <v>25</v>
      </c>
      <c r="L10">
        <v>5</v>
      </c>
    </row>
    <row r="12" spans="1:12" ht="16" x14ac:dyDescent="0.2">
      <c r="A12" s="1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topLeftCell="H1" workbookViewId="0">
      <selection activeCell="K13" sqref="K13"/>
    </sheetView>
  </sheetViews>
  <sheetFormatPr baseColWidth="10" defaultRowHeight="15" x14ac:dyDescent="0.2"/>
  <cols>
    <col min="1" max="1" width="52.5" customWidth="1"/>
    <col min="2" max="2" width="20.6640625" customWidth="1"/>
    <col min="3" max="3" width="11.33203125" customWidth="1"/>
    <col min="4" max="4" width="9" customWidth="1"/>
    <col min="5" max="5" width="12.5" customWidth="1"/>
    <col min="6" max="6" width="17.1640625" customWidth="1"/>
    <col min="7" max="7" width="11.6640625" customWidth="1"/>
    <col min="8" max="8" width="95.6640625" customWidth="1"/>
    <col min="9" max="10" width="11.6640625" customWidth="1"/>
    <col min="11" max="11" width="250.6640625" customWidth="1"/>
    <col min="12" max="12" width="6.6640625" customWidth="1"/>
  </cols>
  <sheetData>
    <row r="1" spans="1:12" ht="16" x14ac:dyDescent="0.2">
      <c r="A1" s="1" t="s">
        <v>0</v>
      </c>
    </row>
    <row r="2" spans="1:12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11</v>
      </c>
      <c r="F2" s="2" t="s">
        <v>12</v>
      </c>
      <c r="G2" s="2" t="s">
        <v>15</v>
      </c>
      <c r="H2" s="2" t="s">
        <v>14</v>
      </c>
    </row>
    <row r="3" spans="1:12" x14ac:dyDescent="0.2">
      <c r="A3" t="s">
        <v>27</v>
      </c>
      <c r="B3" t="s">
        <v>28</v>
      </c>
      <c r="C3" t="s">
        <v>29</v>
      </c>
      <c r="D3" t="s">
        <v>30</v>
      </c>
      <c r="E3">
        <v>9.4577022683960501E-4</v>
      </c>
      <c r="F3">
        <v>3.8776579300423802E-2</v>
      </c>
      <c r="G3">
        <v>8</v>
      </c>
      <c r="H3" t="s">
        <v>31</v>
      </c>
    </row>
    <row r="5" spans="1:12" ht="16" x14ac:dyDescent="0.2">
      <c r="A5" s="1" t="s">
        <v>1</v>
      </c>
    </row>
    <row r="7" spans="1:12" ht="16" x14ac:dyDescent="0.2">
      <c r="A7" s="1" t="s">
        <v>2</v>
      </c>
    </row>
    <row r="9" spans="1:12" ht="16" x14ac:dyDescent="0.2">
      <c r="A9" s="1" t="s">
        <v>3</v>
      </c>
    </row>
    <row r="10" spans="1:12" ht="16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</row>
    <row r="11" spans="1:12" x14ac:dyDescent="0.2">
      <c r="A11" t="s">
        <v>32</v>
      </c>
      <c r="B11" t="s">
        <v>33</v>
      </c>
      <c r="C11" t="s">
        <v>34</v>
      </c>
      <c r="D11" t="s">
        <v>35</v>
      </c>
      <c r="E11">
        <v>0.41176470588235298</v>
      </c>
      <c r="F11">
        <v>3.7959558823529398</v>
      </c>
      <c r="G11">
        <v>4.0580571586613896</v>
      </c>
      <c r="H11">
        <v>1.1146043562577899E-3</v>
      </c>
      <c r="I11">
        <v>2.0267509534358699E-2</v>
      </c>
      <c r="J11">
        <v>1.8551496141289502E-2</v>
      </c>
      <c r="K11" t="s">
        <v>36</v>
      </c>
      <c r="L11">
        <v>7</v>
      </c>
    </row>
    <row r="12" spans="1:12" x14ac:dyDescent="0.2">
      <c r="A12" t="s">
        <v>37</v>
      </c>
      <c r="B12" t="s">
        <v>38</v>
      </c>
      <c r="C12" t="s">
        <v>39</v>
      </c>
      <c r="D12" t="s">
        <v>19</v>
      </c>
      <c r="E12">
        <v>0.42857142857142899</v>
      </c>
      <c r="F12">
        <v>3.9508928571428599</v>
      </c>
      <c r="G12">
        <v>3.87999913620596</v>
      </c>
      <c r="H12">
        <v>2.0411522114380499E-3</v>
      </c>
      <c r="I12">
        <v>2.0267509534358699E-2</v>
      </c>
      <c r="J12">
        <v>1.8551496141289502E-2</v>
      </c>
      <c r="K12" t="s">
        <v>40</v>
      </c>
      <c r="L12">
        <v>6</v>
      </c>
    </row>
    <row r="13" spans="1:12" x14ac:dyDescent="0.2">
      <c r="A13" t="s">
        <v>41</v>
      </c>
      <c r="B13" t="s">
        <v>42</v>
      </c>
      <c r="C13" t="s">
        <v>43</v>
      </c>
      <c r="D13" t="s">
        <v>44</v>
      </c>
      <c r="E13">
        <v>0.1875</v>
      </c>
      <c r="F13">
        <v>1.728515625</v>
      </c>
      <c r="G13">
        <v>3.1068419697707901</v>
      </c>
      <c r="H13">
        <v>2.64358820013375E-3</v>
      </c>
      <c r="I13">
        <v>2.0267509534358699E-2</v>
      </c>
      <c r="J13">
        <v>1.8551496141289502E-2</v>
      </c>
      <c r="K13" t="s">
        <v>45</v>
      </c>
      <c r="L13">
        <v>24</v>
      </c>
    </row>
    <row r="15" spans="1:12" ht="16" x14ac:dyDescent="0.2">
      <c r="A15" s="1" t="s">
        <v>26</v>
      </c>
    </row>
    <row r="16" spans="1:12" ht="16" x14ac:dyDescent="0.2">
      <c r="A16" s="2" t="s">
        <v>4</v>
      </c>
      <c r="B16" s="2" t="s">
        <v>5</v>
      </c>
      <c r="C16" s="2" t="s">
        <v>6</v>
      </c>
      <c r="D16" s="2" t="s">
        <v>7</v>
      </c>
      <c r="E16" s="2" t="s">
        <v>8</v>
      </c>
      <c r="F16" s="2" t="s">
        <v>9</v>
      </c>
      <c r="G16" s="2" t="s">
        <v>10</v>
      </c>
      <c r="H16" s="2" t="s">
        <v>11</v>
      </c>
      <c r="I16" s="2" t="s">
        <v>12</v>
      </c>
      <c r="J16" s="2" t="s">
        <v>13</v>
      </c>
      <c r="K16" s="2" t="s">
        <v>14</v>
      </c>
      <c r="L16" s="2" t="s">
        <v>15</v>
      </c>
    </row>
    <row r="17" spans="1:12" x14ac:dyDescent="0.2">
      <c r="A17" t="s">
        <v>41</v>
      </c>
      <c r="B17" t="s">
        <v>42</v>
      </c>
      <c r="C17" t="s">
        <v>46</v>
      </c>
      <c r="D17" t="s">
        <v>44</v>
      </c>
      <c r="E17">
        <v>0.1015625</v>
      </c>
      <c r="F17">
        <v>2.99609375</v>
      </c>
      <c r="G17">
        <v>4.5713206179710504</v>
      </c>
      <c r="H17">
        <v>9.1169765003400695E-5</v>
      </c>
      <c r="I17">
        <v>1.2564315577852699E-3</v>
      </c>
      <c r="J17">
        <v>1.08916667547949E-3</v>
      </c>
      <c r="K17" t="s">
        <v>47</v>
      </c>
      <c r="L17">
        <v>13</v>
      </c>
    </row>
    <row r="18" spans="1:12" x14ac:dyDescent="0.2">
      <c r="A18" t="s">
        <v>32</v>
      </c>
      <c r="B18" t="s">
        <v>33</v>
      </c>
      <c r="C18" t="s">
        <v>48</v>
      </c>
      <c r="D18" t="s">
        <v>35</v>
      </c>
      <c r="E18">
        <v>0.29411764705882398</v>
      </c>
      <c r="F18">
        <v>8.6764705882353006</v>
      </c>
      <c r="G18">
        <v>5.9831499997473001</v>
      </c>
      <c r="H18">
        <v>1.47815477386503E-4</v>
      </c>
      <c r="I18">
        <v>1.2564315577852699E-3</v>
      </c>
      <c r="J18">
        <v>1.08916667547949E-3</v>
      </c>
      <c r="K18" t="s">
        <v>49</v>
      </c>
      <c r="L18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/>
  </sheetViews>
  <sheetFormatPr baseColWidth="10" defaultRowHeight="15" x14ac:dyDescent="0.2"/>
  <cols>
    <col min="1" max="1" width="52.5" customWidth="1"/>
    <col min="2" max="2" width="63.6640625" customWidth="1"/>
    <col min="3" max="3" width="11.33203125" customWidth="1"/>
    <col min="4" max="4" width="9" customWidth="1"/>
    <col min="5" max="5" width="12.5" customWidth="1"/>
    <col min="6" max="6" width="17.1640625" customWidth="1"/>
    <col min="7" max="7" width="11.6640625" customWidth="1"/>
    <col min="8" max="8" width="250.6640625" customWidth="1"/>
    <col min="9" max="10" width="11.6640625" customWidth="1"/>
    <col min="11" max="11" width="97.6640625" customWidth="1"/>
    <col min="12" max="12" width="6.6640625" customWidth="1"/>
  </cols>
  <sheetData>
    <row r="1" spans="1:12" ht="16" x14ac:dyDescent="0.2">
      <c r="A1" s="1" t="s">
        <v>0</v>
      </c>
    </row>
    <row r="2" spans="1:12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11</v>
      </c>
      <c r="F2" s="2" t="s">
        <v>12</v>
      </c>
      <c r="G2" s="2" t="s">
        <v>15</v>
      </c>
      <c r="H2" s="2" t="s">
        <v>14</v>
      </c>
    </row>
    <row r="3" spans="1:12" x14ac:dyDescent="0.2">
      <c r="A3" t="s">
        <v>50</v>
      </c>
      <c r="B3" t="s">
        <v>51</v>
      </c>
      <c r="C3" t="s">
        <v>52</v>
      </c>
      <c r="D3" t="s">
        <v>53</v>
      </c>
      <c r="E3">
        <v>1.7254554266557599E-6</v>
      </c>
      <c r="F3">
        <v>7.0743672492886204E-5</v>
      </c>
      <c r="G3">
        <v>67</v>
      </c>
      <c r="H3" t="s">
        <v>54</v>
      </c>
    </row>
    <row r="4" spans="1:12" x14ac:dyDescent="0.2">
      <c r="A4" t="s">
        <v>55</v>
      </c>
      <c r="B4" t="s">
        <v>56</v>
      </c>
      <c r="C4" t="s">
        <v>57</v>
      </c>
      <c r="D4" t="s">
        <v>58</v>
      </c>
      <c r="E4">
        <v>3.7127255411390802E-3</v>
      </c>
      <c r="F4">
        <v>4.40751182447165E-2</v>
      </c>
      <c r="G4">
        <v>6</v>
      </c>
      <c r="H4" t="s">
        <v>59</v>
      </c>
    </row>
    <row r="5" spans="1:12" x14ac:dyDescent="0.2">
      <c r="A5" t="s">
        <v>60</v>
      </c>
      <c r="B5" t="s">
        <v>61</v>
      </c>
      <c r="C5" t="s">
        <v>62</v>
      </c>
      <c r="D5" t="s">
        <v>63</v>
      </c>
      <c r="E5">
        <v>3.86021612390538E-3</v>
      </c>
      <c r="F5">
        <v>4.40751182447165E-2</v>
      </c>
      <c r="G5">
        <v>18</v>
      </c>
      <c r="H5" t="s">
        <v>64</v>
      </c>
    </row>
    <row r="6" spans="1:12" x14ac:dyDescent="0.2">
      <c r="A6" t="s">
        <v>65</v>
      </c>
      <c r="B6" t="s">
        <v>66</v>
      </c>
      <c r="C6" t="s">
        <v>67</v>
      </c>
      <c r="D6" t="s">
        <v>68</v>
      </c>
      <c r="E6">
        <v>4.3000115360698997E-3</v>
      </c>
      <c r="F6">
        <v>4.40751182447165E-2</v>
      </c>
      <c r="G6">
        <v>10</v>
      </c>
      <c r="H6" t="s">
        <v>69</v>
      </c>
    </row>
    <row r="8" spans="1:12" ht="16" x14ac:dyDescent="0.2">
      <c r="A8" s="1" t="s">
        <v>1</v>
      </c>
    </row>
    <row r="9" spans="1:12" ht="16" x14ac:dyDescent="0.2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</row>
    <row r="10" spans="1:12" x14ac:dyDescent="0.2">
      <c r="A10" t="s">
        <v>70</v>
      </c>
      <c r="B10" t="s">
        <v>71</v>
      </c>
      <c r="C10" t="s">
        <v>72</v>
      </c>
      <c r="D10" t="s">
        <v>73</v>
      </c>
      <c r="E10">
        <v>0.53846153846153799</v>
      </c>
      <c r="F10">
        <v>4.1699463327370303</v>
      </c>
      <c r="G10">
        <v>4.4413300339728599</v>
      </c>
      <c r="H10">
        <v>4.24915753886663E-4</v>
      </c>
      <c r="I10">
        <v>4.03274049370038E-3</v>
      </c>
      <c r="J10">
        <v>3.39599199469505E-3</v>
      </c>
      <c r="K10" t="s">
        <v>74</v>
      </c>
      <c r="L10">
        <v>7</v>
      </c>
    </row>
    <row r="11" spans="1:12" x14ac:dyDescent="0.2">
      <c r="A11" t="s">
        <v>75</v>
      </c>
      <c r="B11" t="s">
        <v>76</v>
      </c>
      <c r="C11" t="s">
        <v>77</v>
      </c>
      <c r="D11" t="s">
        <v>78</v>
      </c>
      <c r="E11">
        <v>0.6</v>
      </c>
      <c r="F11">
        <v>4.64651162790698</v>
      </c>
      <c r="G11">
        <v>4.4706609486711102</v>
      </c>
      <c r="H11">
        <v>5.3769873249338396E-4</v>
      </c>
      <c r="I11">
        <v>4.03274049370038E-3</v>
      </c>
      <c r="J11">
        <v>3.39599199469505E-3</v>
      </c>
      <c r="K11" t="s">
        <v>79</v>
      </c>
      <c r="L11">
        <v>6</v>
      </c>
    </row>
    <row r="12" spans="1:12" x14ac:dyDescent="0.2">
      <c r="A12" t="s">
        <v>80</v>
      </c>
      <c r="B12" t="s">
        <v>81</v>
      </c>
      <c r="C12" t="s">
        <v>77</v>
      </c>
      <c r="D12" t="s">
        <v>73</v>
      </c>
      <c r="E12">
        <v>0.46153846153846201</v>
      </c>
      <c r="F12">
        <v>3.5742397137745998</v>
      </c>
      <c r="G12">
        <v>3.6067008571596801</v>
      </c>
      <c r="H12">
        <v>3.1685291037211898E-3</v>
      </c>
      <c r="I12">
        <v>1.58426455186059E-2</v>
      </c>
      <c r="J12">
        <v>1.33411751735629E-2</v>
      </c>
      <c r="K12" t="s">
        <v>79</v>
      </c>
      <c r="L12">
        <v>6</v>
      </c>
    </row>
    <row r="14" spans="1:12" ht="16" x14ac:dyDescent="0.2">
      <c r="A14" s="1" t="s">
        <v>2</v>
      </c>
    </row>
    <row r="15" spans="1:12" ht="16" x14ac:dyDescent="0.2">
      <c r="A15" s="2" t="s">
        <v>4</v>
      </c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 t="s">
        <v>14</v>
      </c>
      <c r="L15" s="2" t="s">
        <v>15</v>
      </c>
    </row>
    <row r="16" spans="1:12" x14ac:dyDescent="0.2">
      <c r="A16" t="s">
        <v>75</v>
      </c>
      <c r="B16" t="s">
        <v>76</v>
      </c>
      <c r="C16" t="s">
        <v>82</v>
      </c>
      <c r="D16" t="s">
        <v>78</v>
      </c>
      <c r="E16">
        <v>0.5</v>
      </c>
      <c r="F16">
        <v>8.7631578947368407</v>
      </c>
      <c r="G16">
        <v>6.0800800718007899</v>
      </c>
      <c r="H16">
        <v>9.50867032195258E-5</v>
      </c>
      <c r="I16">
        <v>9.5086703219525795E-4</v>
      </c>
      <c r="J16">
        <v>7.0063886582808496E-4</v>
      </c>
      <c r="K16" t="s">
        <v>83</v>
      </c>
      <c r="L16">
        <v>5</v>
      </c>
    </row>
    <row r="17" spans="1:12" x14ac:dyDescent="0.2">
      <c r="A17" t="s">
        <v>80</v>
      </c>
      <c r="B17" t="s">
        <v>81</v>
      </c>
      <c r="C17" t="s">
        <v>82</v>
      </c>
      <c r="D17" t="s">
        <v>73</v>
      </c>
      <c r="E17">
        <v>0.38461538461538503</v>
      </c>
      <c r="F17">
        <v>6.7408906882591104</v>
      </c>
      <c r="G17">
        <v>5.1382728495643502</v>
      </c>
      <c r="H17">
        <v>4.2749536154533801E-4</v>
      </c>
      <c r="I17">
        <v>1.4249845384844599E-3</v>
      </c>
      <c r="J17">
        <v>1.04998860730434E-3</v>
      </c>
      <c r="K17" t="s">
        <v>83</v>
      </c>
      <c r="L17">
        <v>5</v>
      </c>
    </row>
    <row r="18" spans="1:12" x14ac:dyDescent="0.2">
      <c r="A18" t="s">
        <v>70</v>
      </c>
      <c r="B18" t="s">
        <v>71</v>
      </c>
      <c r="C18" t="s">
        <v>82</v>
      </c>
      <c r="D18" t="s">
        <v>73</v>
      </c>
      <c r="E18">
        <v>0.38461538461538503</v>
      </c>
      <c r="F18">
        <v>6.7408906882591104</v>
      </c>
      <c r="G18">
        <v>5.1382728495643502</v>
      </c>
      <c r="H18">
        <v>4.2749536154533801E-4</v>
      </c>
      <c r="I18">
        <v>1.4249845384844599E-3</v>
      </c>
      <c r="J18">
        <v>1.04998860730434E-3</v>
      </c>
      <c r="K18" t="s">
        <v>83</v>
      </c>
      <c r="L18">
        <v>5</v>
      </c>
    </row>
    <row r="20" spans="1:12" ht="16" x14ac:dyDescent="0.2">
      <c r="A20" s="1" t="s">
        <v>3</v>
      </c>
    </row>
    <row r="21" spans="1:12" ht="16" x14ac:dyDescent="0.2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</row>
    <row r="22" spans="1:12" x14ac:dyDescent="0.2">
      <c r="A22" t="s">
        <v>84</v>
      </c>
      <c r="B22" t="s">
        <v>85</v>
      </c>
      <c r="C22" t="s">
        <v>86</v>
      </c>
      <c r="D22" t="s">
        <v>87</v>
      </c>
      <c r="E22">
        <v>0.6</v>
      </c>
      <c r="F22">
        <v>4.6991150442477903</v>
      </c>
      <c r="G22">
        <v>4.4983217501011197</v>
      </c>
      <c r="H22">
        <v>5.2098477760355799E-4</v>
      </c>
      <c r="I22">
        <v>1.14616651072783E-2</v>
      </c>
      <c r="J22">
        <v>9.8712905230147908E-3</v>
      </c>
      <c r="K22" t="s">
        <v>79</v>
      </c>
      <c r="L22">
        <v>6</v>
      </c>
    </row>
    <row r="23" spans="1:12" x14ac:dyDescent="0.2">
      <c r="A23" t="s">
        <v>88</v>
      </c>
      <c r="B23" t="s">
        <v>89</v>
      </c>
      <c r="C23" t="s">
        <v>86</v>
      </c>
      <c r="D23" t="s">
        <v>90</v>
      </c>
      <c r="E23">
        <v>0.46153846153846201</v>
      </c>
      <c r="F23">
        <v>3.6147038801906102</v>
      </c>
      <c r="G23">
        <v>3.6315551939422201</v>
      </c>
      <c r="H23">
        <v>3.0672865985631298E-3</v>
      </c>
      <c r="I23">
        <v>3.3740152584194501E-2</v>
      </c>
      <c r="J23">
        <v>2.90585046179665E-2</v>
      </c>
      <c r="K23" t="s">
        <v>91</v>
      </c>
      <c r="L23">
        <v>6</v>
      </c>
    </row>
    <row r="25" spans="1:12" ht="16" x14ac:dyDescent="0.2">
      <c r="A25" s="1" t="s">
        <v>26</v>
      </c>
    </row>
    <row r="26" spans="1:12" ht="16" x14ac:dyDescent="0.2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  <c r="I26" s="2" t="s">
        <v>12</v>
      </c>
      <c r="J26" s="2" t="s">
        <v>13</v>
      </c>
      <c r="K26" s="2" t="s">
        <v>14</v>
      </c>
      <c r="L26" s="2" t="s">
        <v>15</v>
      </c>
    </row>
    <row r="27" spans="1:12" x14ac:dyDescent="0.2">
      <c r="A27" t="s">
        <v>84</v>
      </c>
      <c r="B27" t="s">
        <v>85</v>
      </c>
      <c r="C27" t="s">
        <v>92</v>
      </c>
      <c r="D27" t="s">
        <v>87</v>
      </c>
      <c r="E27">
        <v>0.5</v>
      </c>
      <c r="F27">
        <v>8.85</v>
      </c>
      <c r="G27">
        <v>6.1056728029259899</v>
      </c>
      <c r="H27">
        <v>9.60198716629607E-5</v>
      </c>
      <c r="I27">
        <v>1.82437756159625E-3</v>
      </c>
      <c r="J27">
        <v>1.6171767859025001E-3</v>
      </c>
      <c r="K27" t="s">
        <v>83</v>
      </c>
      <c r="L27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/>
  </sheetViews>
  <sheetFormatPr baseColWidth="10" defaultRowHeight="15" x14ac:dyDescent="0.2"/>
  <cols>
    <col min="1" max="1" width="52.5" customWidth="1"/>
    <col min="2" max="2" width="41.6640625" customWidth="1"/>
    <col min="3" max="3" width="11.33203125" customWidth="1"/>
    <col min="4" max="4" width="9" customWidth="1"/>
    <col min="5" max="5" width="12.5" customWidth="1"/>
    <col min="6" max="6" width="17.1640625" customWidth="1"/>
    <col min="7" max="10" width="11.6640625" customWidth="1"/>
    <col min="11" max="11" width="237.6640625" customWidth="1"/>
    <col min="12" max="12" width="6.6640625" customWidth="1"/>
  </cols>
  <sheetData>
    <row r="1" spans="1:12" ht="16" x14ac:dyDescent="0.2">
      <c r="A1" s="1" t="s">
        <v>0</v>
      </c>
    </row>
    <row r="3" spans="1:12" ht="16" x14ac:dyDescent="0.2">
      <c r="A3" s="1" t="s">
        <v>1</v>
      </c>
    </row>
    <row r="4" spans="1:12" ht="16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</row>
    <row r="5" spans="1:12" x14ac:dyDescent="0.2">
      <c r="A5" t="s">
        <v>93</v>
      </c>
      <c r="B5" t="s">
        <v>94</v>
      </c>
      <c r="C5" t="s">
        <v>95</v>
      </c>
      <c r="D5" t="s">
        <v>96</v>
      </c>
      <c r="E5">
        <v>0.32692307692307698</v>
      </c>
      <c r="F5">
        <v>2.0540638606676298</v>
      </c>
      <c r="G5">
        <v>3.4415505389110699</v>
      </c>
      <c r="H5">
        <v>1.35090189488616E-3</v>
      </c>
      <c r="I5">
        <v>1.20843701055774E-2</v>
      </c>
      <c r="J5">
        <v>1.1024337640175901E-2</v>
      </c>
      <c r="K5" t="s">
        <v>97</v>
      </c>
      <c r="L5">
        <v>17</v>
      </c>
    </row>
    <row r="6" spans="1:12" x14ac:dyDescent="0.2">
      <c r="A6" t="s">
        <v>98</v>
      </c>
      <c r="B6" t="s">
        <v>99</v>
      </c>
      <c r="C6" t="s">
        <v>100</v>
      </c>
      <c r="D6" t="s">
        <v>73</v>
      </c>
      <c r="E6">
        <v>0.53846153846153799</v>
      </c>
      <c r="F6">
        <v>3.3831640058055199</v>
      </c>
      <c r="G6">
        <v>3.7725826071511799</v>
      </c>
      <c r="H6">
        <v>1.6112493474103201E-3</v>
      </c>
      <c r="I6">
        <v>1.20843701055774E-2</v>
      </c>
      <c r="J6">
        <v>1.1024337640175901E-2</v>
      </c>
      <c r="K6" t="s">
        <v>101</v>
      </c>
      <c r="L6">
        <v>7</v>
      </c>
    </row>
    <row r="8" spans="1:12" ht="16" x14ac:dyDescent="0.2">
      <c r="A8" s="1" t="s">
        <v>2</v>
      </c>
    </row>
    <row r="9" spans="1:12" ht="16" x14ac:dyDescent="0.2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</row>
    <row r="10" spans="1:12" x14ac:dyDescent="0.2">
      <c r="A10" t="s">
        <v>98</v>
      </c>
      <c r="B10" t="s">
        <v>99</v>
      </c>
      <c r="C10" t="s">
        <v>102</v>
      </c>
      <c r="D10" t="s">
        <v>73</v>
      </c>
      <c r="E10">
        <v>0.30769230769230799</v>
      </c>
      <c r="F10">
        <v>8.5384615384615401</v>
      </c>
      <c r="G10">
        <v>5.3033066325858202</v>
      </c>
      <c r="H10">
        <v>7.5024497357336999E-4</v>
      </c>
      <c r="I10">
        <v>6.75220476216033E-3</v>
      </c>
      <c r="J10">
        <v>6.3178524090389101E-3</v>
      </c>
      <c r="K10" t="s">
        <v>103</v>
      </c>
      <c r="L10">
        <v>4</v>
      </c>
    </row>
    <row r="12" spans="1:12" ht="16" x14ac:dyDescent="0.2">
      <c r="A12" s="1" t="s">
        <v>3</v>
      </c>
    </row>
    <row r="13" spans="1:12" ht="16" x14ac:dyDescent="0.2">
      <c r="A13" s="2" t="s">
        <v>4</v>
      </c>
      <c r="B13" s="2" t="s">
        <v>5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10</v>
      </c>
      <c r="H13" s="2" t="s">
        <v>11</v>
      </c>
      <c r="I13" s="2" t="s">
        <v>12</v>
      </c>
      <c r="J13" s="2" t="s">
        <v>13</v>
      </c>
      <c r="K13" s="2" t="s">
        <v>14</v>
      </c>
      <c r="L13" s="2" t="s">
        <v>15</v>
      </c>
    </row>
    <row r="14" spans="1:12" x14ac:dyDescent="0.2">
      <c r="A14" t="s">
        <v>104</v>
      </c>
      <c r="B14" t="s">
        <v>105</v>
      </c>
      <c r="C14" t="s">
        <v>106</v>
      </c>
      <c r="D14" t="s">
        <v>107</v>
      </c>
      <c r="E14">
        <v>0.34883720930232598</v>
      </c>
      <c r="F14">
        <v>2.35664832238594</v>
      </c>
      <c r="G14">
        <v>3.7994573304315602</v>
      </c>
      <c r="H14">
        <v>6.1958815245933402E-4</v>
      </c>
      <c r="I14">
        <v>1.4870115659024E-2</v>
      </c>
      <c r="J14">
        <v>1.3696159159627399E-2</v>
      </c>
      <c r="K14" t="s">
        <v>108</v>
      </c>
      <c r="L14">
        <v>15</v>
      </c>
    </row>
    <row r="16" spans="1:12" ht="16" x14ac:dyDescent="0.2">
      <c r="A16" s="1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baseColWidth="10" defaultRowHeight="15" x14ac:dyDescent="0.2"/>
  <cols>
    <col min="1" max="1" width="52.5" customWidth="1"/>
    <col min="2" max="2" width="25.6640625" customWidth="1"/>
    <col min="3" max="3" width="11.33203125" customWidth="1"/>
    <col min="4" max="4" width="9" customWidth="1"/>
    <col min="5" max="6" width="11.6640625" customWidth="1"/>
    <col min="7" max="7" width="6.6640625" customWidth="1"/>
    <col min="8" max="8" width="250.6640625" customWidth="1"/>
  </cols>
  <sheetData>
    <row r="1" spans="1:8" ht="16" x14ac:dyDescent="0.2">
      <c r="A1" s="1" t="s">
        <v>0</v>
      </c>
    </row>
    <row r="2" spans="1:8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11</v>
      </c>
      <c r="F2" s="2" t="s">
        <v>12</v>
      </c>
      <c r="G2" s="2" t="s">
        <v>15</v>
      </c>
      <c r="H2" s="2" t="s">
        <v>14</v>
      </c>
    </row>
    <row r="3" spans="1:8" x14ac:dyDescent="0.2">
      <c r="A3" t="s">
        <v>60</v>
      </c>
      <c r="B3" t="s">
        <v>61</v>
      </c>
      <c r="C3" t="s">
        <v>109</v>
      </c>
      <c r="D3" t="s">
        <v>63</v>
      </c>
      <c r="E3">
        <v>6.1441313060192797E-5</v>
      </c>
      <c r="F3">
        <v>2.27332858322713E-3</v>
      </c>
      <c r="G3">
        <v>21</v>
      </c>
      <c r="H3" t="s">
        <v>110</v>
      </c>
    </row>
    <row r="4" spans="1:8" x14ac:dyDescent="0.2">
      <c r="A4" t="s">
        <v>50</v>
      </c>
      <c r="B4" t="s">
        <v>51</v>
      </c>
      <c r="C4" t="s">
        <v>111</v>
      </c>
      <c r="D4" t="s">
        <v>53</v>
      </c>
      <c r="E4">
        <v>6.8226622286894395E-4</v>
      </c>
      <c r="F4">
        <v>1.26219251230755E-2</v>
      </c>
      <c r="G4">
        <v>58</v>
      </c>
      <c r="H4" t="s">
        <v>112</v>
      </c>
    </row>
    <row r="6" spans="1:8" ht="16" x14ac:dyDescent="0.2">
      <c r="A6" s="1" t="s">
        <v>1</v>
      </c>
    </row>
    <row r="8" spans="1:8" ht="16" x14ac:dyDescent="0.2">
      <c r="A8" s="1" t="s">
        <v>2</v>
      </c>
    </row>
    <row r="10" spans="1:8" ht="16" x14ac:dyDescent="0.2">
      <c r="A10" s="1" t="s">
        <v>3</v>
      </c>
    </row>
    <row r="12" spans="1:8" ht="16" x14ac:dyDescent="0.2">
      <c r="A12" s="1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baseColWidth="10" defaultRowHeight="15" x14ac:dyDescent="0.2"/>
  <cols>
    <col min="1" max="1" width="52.5" customWidth="1"/>
    <col min="2" max="2" width="16.6640625" customWidth="1"/>
    <col min="3" max="3" width="11.33203125" customWidth="1"/>
    <col min="4" max="4" width="9" customWidth="1"/>
    <col min="5" max="6" width="11.6640625" customWidth="1"/>
    <col min="7" max="7" width="6.6640625" customWidth="1"/>
    <col min="8" max="8" width="215.6640625" customWidth="1"/>
  </cols>
  <sheetData>
    <row r="1" spans="1:8" ht="16" x14ac:dyDescent="0.2">
      <c r="A1" s="1" t="s">
        <v>0</v>
      </c>
    </row>
    <row r="2" spans="1:8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11</v>
      </c>
      <c r="F2" s="2" t="s">
        <v>12</v>
      </c>
      <c r="G2" s="2" t="s">
        <v>15</v>
      </c>
      <c r="H2" s="2" t="s">
        <v>14</v>
      </c>
    </row>
    <row r="3" spans="1:8" x14ac:dyDescent="0.2">
      <c r="A3" t="s">
        <v>113</v>
      </c>
      <c r="B3" t="s">
        <v>114</v>
      </c>
      <c r="C3" t="s">
        <v>115</v>
      </c>
      <c r="D3" t="s">
        <v>116</v>
      </c>
      <c r="E3">
        <v>1.04786166648037E-3</v>
      </c>
      <c r="F3">
        <v>4.2962328325695E-2</v>
      </c>
      <c r="G3">
        <v>18</v>
      </c>
      <c r="H3" t="s">
        <v>117</v>
      </c>
    </row>
    <row r="5" spans="1:8" ht="16" x14ac:dyDescent="0.2">
      <c r="A5" s="1" t="s">
        <v>1</v>
      </c>
    </row>
    <row r="7" spans="1:8" ht="16" x14ac:dyDescent="0.2">
      <c r="A7" s="1" t="s">
        <v>2</v>
      </c>
    </row>
    <row r="9" spans="1:8" ht="16" x14ac:dyDescent="0.2">
      <c r="A9" s="1" t="s">
        <v>3</v>
      </c>
    </row>
    <row r="11" spans="1:8" ht="16" x14ac:dyDescent="0.2">
      <c r="A11" s="1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workbookViewId="0"/>
  </sheetViews>
  <sheetFormatPr baseColWidth="10" defaultRowHeight="15" x14ac:dyDescent="0.2"/>
  <cols>
    <col min="1" max="1" width="52.5" customWidth="1"/>
    <col min="2" max="2" width="64.6640625" customWidth="1"/>
    <col min="3" max="3" width="11.33203125" customWidth="1"/>
    <col min="4" max="4" width="9" customWidth="1"/>
    <col min="5" max="5" width="12.5" customWidth="1"/>
    <col min="6" max="6" width="17.1640625" customWidth="1"/>
    <col min="7" max="10" width="11.6640625" customWidth="1"/>
    <col min="11" max="11" width="125.6640625" customWidth="1"/>
    <col min="12" max="12" width="6.6640625" customWidth="1"/>
  </cols>
  <sheetData>
    <row r="1" spans="1:12" ht="16" x14ac:dyDescent="0.2">
      <c r="A1" s="1" t="s">
        <v>0</v>
      </c>
    </row>
    <row r="3" spans="1:12" ht="16" x14ac:dyDescent="0.2">
      <c r="A3" s="1" t="s">
        <v>1</v>
      </c>
    </row>
    <row r="4" spans="1:12" ht="16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</row>
    <row r="5" spans="1:12" x14ac:dyDescent="0.2">
      <c r="A5" t="s">
        <v>118</v>
      </c>
      <c r="B5" t="s">
        <v>119</v>
      </c>
      <c r="C5" t="s">
        <v>120</v>
      </c>
      <c r="D5" t="s">
        <v>121</v>
      </c>
      <c r="E5">
        <v>0.64285714285714302</v>
      </c>
      <c r="F5">
        <v>6.3901918976545797</v>
      </c>
      <c r="G5">
        <v>6.8120724720955703</v>
      </c>
      <c r="H5">
        <v>8.40618768682559E-7</v>
      </c>
      <c r="I5">
        <v>1.09280439928733E-5</v>
      </c>
      <c r="J5">
        <v>9.7334804794822608E-6</v>
      </c>
      <c r="K5" t="s">
        <v>122</v>
      </c>
      <c r="L5">
        <v>9</v>
      </c>
    </row>
    <row r="6" spans="1:12" x14ac:dyDescent="0.2">
      <c r="A6" t="s">
        <v>123</v>
      </c>
      <c r="B6" t="s">
        <v>124</v>
      </c>
      <c r="C6" t="s">
        <v>125</v>
      </c>
      <c r="D6" t="s">
        <v>126</v>
      </c>
      <c r="E6">
        <v>0.34782608695652201</v>
      </c>
      <c r="F6">
        <v>3.4574951330305002</v>
      </c>
      <c r="G6">
        <v>4.0085371304755899</v>
      </c>
      <c r="H6">
        <v>9.9801995066487706E-4</v>
      </c>
      <c r="I6">
        <v>6.4871296793216999E-3</v>
      </c>
      <c r="J6">
        <v>5.7780102406913897E-3</v>
      </c>
      <c r="K6" t="s">
        <v>127</v>
      </c>
      <c r="L6">
        <v>8</v>
      </c>
    </row>
    <row r="8" spans="1:12" ht="16" x14ac:dyDescent="0.2">
      <c r="A8" s="1" t="s">
        <v>2</v>
      </c>
    </row>
    <row r="9" spans="1:12" ht="16" x14ac:dyDescent="0.2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</row>
    <row r="10" spans="1:12" x14ac:dyDescent="0.2">
      <c r="A10" t="s">
        <v>123</v>
      </c>
      <c r="B10" t="s">
        <v>124</v>
      </c>
      <c r="C10" t="s">
        <v>128</v>
      </c>
      <c r="D10" t="s">
        <v>126</v>
      </c>
      <c r="E10">
        <v>0.173913043478261</v>
      </c>
      <c r="F10">
        <v>5.5155279503105596</v>
      </c>
      <c r="G10">
        <v>3.9738143988905898</v>
      </c>
      <c r="H10">
        <v>4.39206722452057E-3</v>
      </c>
      <c r="I10">
        <v>2.7576571945196499E-2</v>
      </c>
      <c r="J10">
        <v>2.07342646204485E-2</v>
      </c>
      <c r="K10" t="s">
        <v>129</v>
      </c>
      <c r="L10">
        <v>4</v>
      </c>
    </row>
    <row r="11" spans="1:12" x14ac:dyDescent="0.2">
      <c r="A11" t="s">
        <v>118</v>
      </c>
      <c r="B11" t="s">
        <v>119</v>
      </c>
      <c r="C11" t="s">
        <v>130</v>
      </c>
      <c r="D11" t="s">
        <v>121</v>
      </c>
      <c r="E11">
        <v>0.214285714285714</v>
      </c>
      <c r="F11">
        <v>6.7959183673469399</v>
      </c>
      <c r="G11">
        <v>3.9518740312212599</v>
      </c>
      <c r="H11">
        <v>7.8790205557704406E-3</v>
      </c>
      <c r="I11">
        <v>2.7576571945196499E-2</v>
      </c>
      <c r="J11">
        <v>2.07342646204485E-2</v>
      </c>
      <c r="K11" t="s">
        <v>131</v>
      </c>
      <c r="L11">
        <v>3</v>
      </c>
    </row>
    <row r="13" spans="1:12" ht="16" x14ac:dyDescent="0.2">
      <c r="A13" s="1" t="s">
        <v>3</v>
      </c>
    </row>
    <row r="14" spans="1:12" ht="16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</row>
    <row r="15" spans="1:12" x14ac:dyDescent="0.2">
      <c r="A15" t="s">
        <v>132</v>
      </c>
      <c r="B15" t="s">
        <v>133</v>
      </c>
      <c r="C15" t="s">
        <v>134</v>
      </c>
      <c r="D15" t="s">
        <v>90</v>
      </c>
      <c r="E15">
        <v>0.53846153846153799</v>
      </c>
      <c r="F15">
        <v>5.8831908831908803</v>
      </c>
      <c r="G15">
        <v>5.6267517201941102</v>
      </c>
      <c r="H15">
        <v>4.5754728889876301E-5</v>
      </c>
      <c r="I15">
        <v>8.6933984890764904E-4</v>
      </c>
      <c r="J15">
        <v>8.18768832766207E-4</v>
      </c>
      <c r="K15" t="s">
        <v>135</v>
      </c>
      <c r="L15">
        <v>7</v>
      </c>
    </row>
    <row r="17" spans="1:12" ht="16" x14ac:dyDescent="0.2">
      <c r="A17" s="1" t="s">
        <v>26</v>
      </c>
    </row>
    <row r="18" spans="1:12" ht="16" x14ac:dyDescent="0.2">
      <c r="A18" s="2" t="s">
        <v>4</v>
      </c>
      <c r="B18" s="2" t="s">
        <v>5</v>
      </c>
      <c r="C18" s="2" t="s">
        <v>6</v>
      </c>
      <c r="D18" s="2" t="s">
        <v>7</v>
      </c>
      <c r="E18" s="2" t="s">
        <v>8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 t="s">
        <v>14</v>
      </c>
      <c r="L18" s="2" t="s">
        <v>15</v>
      </c>
    </row>
    <row r="19" spans="1:12" x14ac:dyDescent="0.2">
      <c r="A19" t="s">
        <v>132</v>
      </c>
      <c r="B19" t="s">
        <v>133</v>
      </c>
      <c r="C19" t="s">
        <v>136</v>
      </c>
      <c r="D19" t="s">
        <v>90</v>
      </c>
      <c r="E19">
        <v>0.230769230769231</v>
      </c>
      <c r="F19">
        <v>8.8795986622073606</v>
      </c>
      <c r="G19">
        <v>4.6725499107950199</v>
      </c>
      <c r="H19">
        <v>3.7066086062783202E-3</v>
      </c>
      <c r="I19">
        <v>4.0772694669061499E-2</v>
      </c>
      <c r="J19">
        <v>3.1213546158133199E-2</v>
      </c>
      <c r="K19" t="s">
        <v>131</v>
      </c>
      <c r="L19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"/>
  <sheetViews>
    <sheetView workbookViewId="0"/>
  </sheetViews>
  <sheetFormatPr baseColWidth="10" defaultRowHeight="15" x14ac:dyDescent="0.2"/>
  <cols>
    <col min="1" max="1" width="52.5" customWidth="1"/>
    <col min="2" max="2" width="34.6640625" customWidth="1"/>
    <col min="3" max="3" width="11.33203125" customWidth="1"/>
    <col min="4" max="4" width="9" customWidth="1"/>
    <col min="5" max="5" width="12.5" customWidth="1"/>
    <col min="6" max="6" width="17.1640625" customWidth="1"/>
    <col min="7" max="7" width="11.6640625" customWidth="1"/>
    <col min="8" max="8" width="250.6640625" customWidth="1"/>
    <col min="9" max="10" width="11.6640625" customWidth="1"/>
    <col min="11" max="11" width="250.6640625" customWidth="1"/>
    <col min="12" max="12" width="6.6640625" customWidth="1"/>
  </cols>
  <sheetData>
    <row r="1" spans="1:12" ht="16" x14ac:dyDescent="0.2">
      <c r="A1" s="1" t="s">
        <v>0</v>
      </c>
    </row>
    <row r="2" spans="1:12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11</v>
      </c>
      <c r="F2" s="2" t="s">
        <v>12</v>
      </c>
      <c r="G2" s="2" t="s">
        <v>15</v>
      </c>
      <c r="H2" s="2" t="s">
        <v>14</v>
      </c>
    </row>
    <row r="3" spans="1:12" x14ac:dyDescent="0.2">
      <c r="A3" t="s">
        <v>137</v>
      </c>
      <c r="B3" t="s">
        <v>138</v>
      </c>
      <c r="C3" t="s">
        <v>139</v>
      </c>
      <c r="D3" t="s">
        <v>140</v>
      </c>
      <c r="E3">
        <v>3.1627542973101199E-22</v>
      </c>
      <c r="F3">
        <v>1.20184663297785E-20</v>
      </c>
      <c r="G3">
        <v>39</v>
      </c>
      <c r="H3" t="s">
        <v>141</v>
      </c>
    </row>
    <row r="5" spans="1:12" ht="16" x14ac:dyDescent="0.2">
      <c r="A5" s="1" t="s">
        <v>1</v>
      </c>
    </row>
    <row r="6" spans="1:12" ht="16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</row>
    <row r="7" spans="1:12" x14ac:dyDescent="0.2">
      <c r="A7" t="s">
        <v>142</v>
      </c>
      <c r="B7" t="s">
        <v>143</v>
      </c>
      <c r="C7" t="s">
        <v>144</v>
      </c>
      <c r="D7" t="s">
        <v>145</v>
      </c>
      <c r="E7">
        <v>0.63934426229508201</v>
      </c>
      <c r="F7">
        <v>4.1745419479267101</v>
      </c>
      <c r="G7">
        <v>11.0545140721284</v>
      </c>
      <c r="H7">
        <v>2.55002068523655E-20</v>
      </c>
      <c r="I7">
        <v>4.3350351649021299E-19</v>
      </c>
      <c r="J7">
        <v>4.2947716803984E-19</v>
      </c>
      <c r="K7" t="s">
        <v>146</v>
      </c>
      <c r="L7">
        <v>39</v>
      </c>
    </row>
    <row r="9" spans="1:12" ht="16" x14ac:dyDescent="0.2">
      <c r="A9" s="1" t="s">
        <v>2</v>
      </c>
    </row>
    <row r="10" spans="1:12" ht="16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</row>
    <row r="11" spans="1:12" x14ac:dyDescent="0.2">
      <c r="A11" t="s">
        <v>142</v>
      </c>
      <c r="B11" t="s">
        <v>143</v>
      </c>
      <c r="C11" t="s">
        <v>147</v>
      </c>
      <c r="D11" t="s">
        <v>145</v>
      </c>
      <c r="E11">
        <v>0.55737704918032804</v>
      </c>
      <c r="F11">
        <v>7.1387137452711196</v>
      </c>
      <c r="G11">
        <v>14.628268437990901</v>
      </c>
      <c r="H11">
        <v>2.1722730179284E-27</v>
      </c>
      <c r="I11">
        <v>1.73781841434272E-26</v>
      </c>
      <c r="J11">
        <v>1.60062222373672E-26</v>
      </c>
      <c r="K11" t="s">
        <v>148</v>
      </c>
      <c r="L11">
        <v>34</v>
      </c>
    </row>
    <row r="13" spans="1:12" ht="16" x14ac:dyDescent="0.2">
      <c r="A13" s="1" t="s">
        <v>3</v>
      </c>
    </row>
    <row r="14" spans="1:12" ht="16" x14ac:dyDescent="0.2">
      <c r="A14" s="2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</row>
    <row r="15" spans="1:12" x14ac:dyDescent="0.2">
      <c r="A15" t="s">
        <v>149</v>
      </c>
      <c r="B15" t="s">
        <v>150</v>
      </c>
      <c r="C15" t="s">
        <v>151</v>
      </c>
      <c r="D15" t="s">
        <v>152</v>
      </c>
      <c r="E15">
        <v>0.71698113207547198</v>
      </c>
      <c r="F15">
        <v>4.7708894878706198</v>
      </c>
      <c r="G15">
        <v>11.900442471179399</v>
      </c>
      <c r="H15">
        <v>3.6339402009325699E-22</v>
      </c>
      <c r="I15">
        <v>7.9946684420516601E-21</v>
      </c>
      <c r="J15">
        <v>7.6504004230159396E-21</v>
      </c>
      <c r="K15" t="s">
        <v>153</v>
      </c>
      <c r="L15">
        <v>38</v>
      </c>
    </row>
    <row r="17" spans="1:12" ht="16" x14ac:dyDescent="0.2">
      <c r="A17" s="1" t="s">
        <v>26</v>
      </c>
    </row>
    <row r="18" spans="1:12" ht="16" x14ac:dyDescent="0.2">
      <c r="A18" s="2" t="s">
        <v>4</v>
      </c>
      <c r="B18" s="2" t="s">
        <v>5</v>
      </c>
      <c r="C18" s="2" t="s">
        <v>6</v>
      </c>
      <c r="D18" s="2" t="s">
        <v>7</v>
      </c>
      <c r="E18" s="2" t="s">
        <v>8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 t="s">
        <v>14</v>
      </c>
      <c r="L18" s="2" t="s">
        <v>15</v>
      </c>
    </row>
    <row r="19" spans="1:12" x14ac:dyDescent="0.2">
      <c r="A19" t="s">
        <v>149</v>
      </c>
      <c r="B19" t="s">
        <v>150</v>
      </c>
      <c r="C19" t="s">
        <v>154</v>
      </c>
      <c r="D19" t="s">
        <v>152</v>
      </c>
      <c r="E19">
        <v>0.64150943396226401</v>
      </c>
      <c r="F19">
        <v>9.6226415094339597</v>
      </c>
      <c r="G19">
        <v>17.293333496558201</v>
      </c>
      <c r="H19">
        <v>7.3863765307144797E-32</v>
      </c>
      <c r="I19">
        <v>9.6022894899288205E-31</v>
      </c>
      <c r="J19">
        <v>9.3301598282709197E-31</v>
      </c>
      <c r="K19" t="s">
        <v>148</v>
      </c>
      <c r="L19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michellemitchner</dc:creator>
  <cp:lastModifiedBy>Michelle Mitchener</cp:lastModifiedBy>
  <dcterms:created xsi:type="dcterms:W3CDTF">2025-12-18T05:44:18Z</dcterms:created>
  <dcterms:modified xsi:type="dcterms:W3CDTF">2026-02-27T09:10:42Z</dcterms:modified>
</cp:coreProperties>
</file>